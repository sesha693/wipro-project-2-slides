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20204244\Downloads\"/>
    </mc:Choice>
  </mc:AlternateContent>
  <xr:revisionPtr revIDLastSave="0" documentId="13_ncr:1_{3B35C227-A881-4B8F-8006-81592D48E8D9}" xr6:coauthVersionLast="47" xr6:coauthVersionMax="47" xr10:uidLastSave="{00000000-0000-0000-0000-000000000000}"/>
  <bookViews>
    <workbookView xWindow="-120" yWindow="-120" windowWidth="20730" windowHeight="11040" activeTab="1" xr2:uid="{1EA87454-319C-435D-855D-C60F9EE92966}"/>
  </bookViews>
  <sheets>
    <sheet name="Revenue" sheetId="1" r:id="rId1"/>
    <sheet name="NTE" sheetId="2" r:id="rId2"/>
    <sheet name="Sheet4" sheetId="4" state="hidden" r:id="rId3"/>
    <sheet name="G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" i="2" l="1"/>
  <c r="J14" i="2"/>
  <c r="J18" i="2"/>
  <c r="J15" i="2"/>
  <c r="L15" i="2" s="1"/>
  <c r="J9" i="2"/>
  <c r="K9" i="2" s="1"/>
  <c r="J11" i="2"/>
  <c r="L11" i="2" s="1"/>
  <c r="J12" i="2"/>
  <c r="L12" i="2" s="1"/>
  <c r="J13" i="2"/>
  <c r="L13" i="2" s="1"/>
  <c r="J19" i="2"/>
  <c r="L19" i="2" s="1"/>
  <c r="G10" i="2"/>
  <c r="G20" i="2" s="1"/>
  <c r="G11" i="2"/>
  <c r="G12" i="2"/>
  <c r="G13" i="2"/>
  <c r="G14" i="2"/>
  <c r="G15" i="2"/>
  <c r="G16" i="2"/>
  <c r="G17" i="2"/>
  <c r="G18" i="2"/>
  <c r="G19" i="2"/>
  <c r="G9" i="2"/>
  <c r="F20" i="2"/>
  <c r="E20" i="2"/>
  <c r="H9" i="3"/>
  <c r="H10" i="3"/>
  <c r="G11" i="3"/>
  <c r="H14" i="3"/>
  <c r="G16" i="3"/>
  <c r="H17" i="3"/>
  <c r="G18" i="3"/>
  <c r="G7" i="3"/>
  <c r="G12" i="3"/>
  <c r="G15" i="3"/>
  <c r="H8" i="3"/>
  <c r="H12" i="3"/>
  <c r="H13" i="3"/>
  <c r="H15" i="3"/>
  <c r="H16" i="3"/>
  <c r="G8" i="3"/>
  <c r="G9" i="3"/>
  <c r="G10" i="3"/>
  <c r="G13" i="3"/>
  <c r="G14" i="3"/>
  <c r="D14" i="1"/>
  <c r="E14" i="1"/>
  <c r="F14" i="1"/>
  <c r="G14" i="1"/>
  <c r="H14" i="1"/>
  <c r="I14" i="1"/>
  <c r="C14" i="1"/>
  <c r="I9" i="1"/>
  <c r="I10" i="1"/>
  <c r="G4" i="1"/>
  <c r="I4" i="1" s="1"/>
  <c r="G5" i="1"/>
  <c r="I5" i="1" s="1"/>
  <c r="G6" i="1"/>
  <c r="I6" i="1" s="1"/>
  <c r="G7" i="1"/>
  <c r="I7" i="1" s="1"/>
  <c r="G8" i="1"/>
  <c r="I8" i="1" s="1"/>
  <c r="G9" i="1"/>
  <c r="G10" i="1"/>
  <c r="G11" i="1"/>
  <c r="I11" i="1" s="1"/>
  <c r="G12" i="1"/>
  <c r="I12" i="1" s="1"/>
  <c r="G13" i="1"/>
  <c r="I13" i="1" s="1"/>
  <c r="G2" i="3"/>
  <c r="F2" i="3"/>
  <c r="K19" i="2" l="1"/>
  <c r="K13" i="2"/>
  <c r="L18" i="2"/>
  <c r="K18" i="2"/>
  <c r="J10" i="2"/>
  <c r="J17" i="2"/>
  <c r="L17" i="2" s="1"/>
  <c r="K12" i="2"/>
  <c r="K11" i="2"/>
  <c r="J16" i="2"/>
  <c r="L16" i="2" s="1"/>
  <c r="H20" i="2"/>
  <c r="K15" i="2"/>
  <c r="L9" i="2"/>
  <c r="K14" i="2"/>
  <c r="L14" i="2"/>
  <c r="K17" i="2"/>
  <c r="H11" i="3"/>
  <c r="G17" i="3"/>
  <c r="H18" i="3"/>
  <c r="H7" i="3"/>
  <c r="K16" i="2" l="1"/>
  <c r="L10" i="2"/>
  <c r="K10" i="2"/>
  <c r="K20" i="2" s="1"/>
  <c r="J20" i="2"/>
  <c r="L20" i="2"/>
  <c r="G3" i="1" l="1"/>
  <c r="I3" i="1" s="1"/>
  <c r="I3" i="2"/>
  <c r="K3" i="2" s="1"/>
  <c r="F3" i="2"/>
  <c r="J3" i="2" l="1"/>
</calcChain>
</file>

<file path=xl/sharedStrings.xml><?xml version="1.0" encoding="utf-8"?>
<sst xmlns="http://schemas.openxmlformats.org/spreadsheetml/2006/main" count="166" uniqueCount="85">
  <si>
    <t>ADH</t>
  </si>
  <si>
    <t>Account</t>
  </si>
  <si>
    <t xml:space="preserve">Q1’27 </t>
  </si>
  <si>
    <t>Actual</t>
  </si>
  <si>
    <t>Q2’27 Target</t>
  </si>
  <si>
    <t xml:space="preserve">Q2’27 </t>
  </si>
  <si>
    <t>Locked-In</t>
  </si>
  <si>
    <t>Risk</t>
  </si>
  <si>
    <t>Q2’27 Total Projections</t>
  </si>
  <si>
    <t>Pipeline</t>
  </si>
  <si>
    <t>Delta to Target</t>
  </si>
  <si>
    <t>VSV Ramesh</t>
  </si>
  <si>
    <t>Apple</t>
  </si>
  <si>
    <t>Q1’27</t>
  </si>
  <si>
    <t>Q2’27</t>
  </si>
  <si>
    <t>Delta</t>
  </si>
  <si>
    <t>Actuals</t>
  </si>
  <si>
    <t>People cost</t>
  </si>
  <si>
    <t>Non- people cost</t>
  </si>
  <si>
    <t>Total</t>
  </si>
  <si>
    <t>Q2’27- PREV WEEK</t>
  </si>
  <si>
    <t>Q2’27- CURRENT WEEK</t>
  </si>
  <si>
    <t>WOW</t>
  </si>
  <si>
    <t>Q1’27Actuals</t>
  </si>
  <si>
    <t>WK01 P&amp;L</t>
  </si>
  <si>
    <t>Q2’27 GM Forecast</t>
  </si>
  <si>
    <t>WK02 P&amp;L</t>
  </si>
  <si>
    <t>Target</t>
  </si>
  <si>
    <t>Cisco</t>
  </si>
  <si>
    <t>UHG</t>
  </si>
  <si>
    <t>Consumer</t>
  </si>
  <si>
    <t>Amazon</t>
  </si>
  <si>
    <t>Microsoft</t>
  </si>
  <si>
    <t>Health</t>
  </si>
  <si>
    <t>Google</t>
  </si>
  <si>
    <t>Meta</t>
  </si>
  <si>
    <t>Prachi//Raja</t>
  </si>
  <si>
    <t>Himadri</t>
  </si>
  <si>
    <t>Kumar</t>
  </si>
  <si>
    <t>Solomon</t>
  </si>
  <si>
    <t>RK</t>
  </si>
  <si>
    <t>Pradeep</t>
  </si>
  <si>
    <t>Prachi</t>
  </si>
  <si>
    <t>Manu</t>
  </si>
  <si>
    <t>Avinash</t>
  </si>
  <si>
    <t>Ajit Katankot</t>
  </si>
  <si>
    <t>S&amp;G Others</t>
  </si>
  <si>
    <t>CMN</t>
  </si>
  <si>
    <t>Accounts</t>
  </si>
  <si>
    <t>CISCO</t>
  </si>
  <si>
    <t>Samir</t>
  </si>
  <si>
    <t>Tech S&amp;G Others</t>
  </si>
  <si>
    <t>CMI others</t>
  </si>
  <si>
    <t>HLS</t>
  </si>
  <si>
    <t>Q1 GM%</t>
  </si>
  <si>
    <t>Q2 GM% Target</t>
  </si>
  <si>
    <t>Q2 GM% Forecast</t>
  </si>
  <si>
    <t>Maanu</t>
  </si>
  <si>
    <t>Raja</t>
  </si>
  <si>
    <t>VSV</t>
  </si>
  <si>
    <t>Ajit</t>
  </si>
  <si>
    <t>Manish</t>
  </si>
  <si>
    <t>ITI</t>
  </si>
  <si>
    <t>Others</t>
  </si>
  <si>
    <t>Rev</t>
  </si>
  <si>
    <t>Q2'27 Budget</t>
  </si>
  <si>
    <t>Q2'27 Target</t>
  </si>
  <si>
    <t>Lockedin</t>
  </si>
  <si>
    <t xml:space="preserve">Q2 Revenue Projections </t>
  </si>
  <si>
    <t>80.43 </t>
  </si>
  <si>
    <t>14.41 </t>
  </si>
  <si>
    <t xml:space="preserve">People Cost </t>
  </si>
  <si>
    <t>Non People Cost</t>
  </si>
  <si>
    <t>GM%</t>
  </si>
  <si>
    <t xml:space="preserve">NTE target </t>
  </si>
  <si>
    <t>WK13 Cost</t>
  </si>
  <si>
    <t>People Cost Target (85%)</t>
  </si>
  <si>
    <t>Wk13 People Cost</t>
  </si>
  <si>
    <t>B3+ projected Saving</t>
  </si>
  <si>
    <t>Other cost Target(15%)</t>
  </si>
  <si>
    <t>WK13 Non People Cost</t>
  </si>
  <si>
    <t>Non People Cost Projection</t>
  </si>
  <si>
    <t>Budget GM</t>
  </si>
  <si>
    <t>GM Target</t>
  </si>
  <si>
    <t>WK13 GM%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</si>
</sst>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name val="Arial"/>
    </font>
    <font>
      <b/>
      <sz val="12"/>
      <color rgb="FF000000"/>
      <name val="Arial"/>
    </font>
    <font>
      <b/>
      <sz val="12"/>
      <color rgb="FF000000"/>
      <name val="Calibri"/>
    </font>
    <font>
      <sz val="14"/>
      <color rgb="FF000000"/>
      <name val="Arial"/>
    </font>
    <font>
      <sz val="14"/>
      <color rgb="FF000000"/>
      <name val="Aptos"/>
    </font>
    <font>
      <sz val="14"/>
      <color rgb="FF000000"/>
      <name val="Calibri"/>
    </font>
    <font>
      <b/>
      <sz val="14"/>
      <color rgb="FF000000"/>
      <name val="Arial"/>
    </font>
    <font>
      <sz val="10"/>
      <color theme="1"/>
      <name val="Times New Roman"/>
      <family val="1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2841"/>
        <bgColor indexed="64"/>
      </patternFill>
    </fill>
  </fills>
  <borders count="12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 readingOrder="1"/>
    </xf>
    <xf numFmtId="10" fontId="5" fillId="0" borderId="1" xfId="0" applyNumberFormat="1" applyFont="1" applyBorder="1" applyAlignment="1">
      <alignment horizontal="center" vertical="center" wrapText="1" readingOrder="1"/>
    </xf>
    <xf numFmtId="10" fontId="2" fillId="0" borderId="1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 readingOrder="1"/>
    </xf>
    <xf numFmtId="0" fontId="7" fillId="0" borderId="7" xfId="0" applyFont="1" applyBorder="1" applyAlignment="1">
      <alignment horizontal="center" wrapText="1" readingOrder="1"/>
    </xf>
    <xf numFmtId="0" fontId="5" fillId="0" borderId="7" xfId="0" applyFont="1" applyBorder="1" applyAlignment="1">
      <alignment horizont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11" fillId="3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left" wrapText="1" readingOrder="1"/>
    </xf>
    <xf numFmtId="0" fontId="10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1"/>
    </xf>
    <xf numFmtId="0" fontId="12" fillId="0" borderId="7" xfId="0" applyFont="1" applyBorder="1" applyAlignment="1">
      <alignment vertical="center" wrapText="1"/>
    </xf>
    <xf numFmtId="10" fontId="12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10" fontId="0" fillId="0" borderId="7" xfId="0" applyNumberFormat="1" applyBorder="1"/>
    <xf numFmtId="10" fontId="11" fillId="0" borderId="7" xfId="0" applyNumberFormat="1" applyFont="1" applyBorder="1"/>
    <xf numFmtId="10" fontId="12" fillId="6" borderId="7" xfId="0" applyNumberFormat="1" applyFont="1" applyFill="1" applyBorder="1" applyAlignment="1">
      <alignment horizontal="center" vertical="center" wrapText="1"/>
    </xf>
    <xf numFmtId="10" fontId="0" fillId="0" borderId="7" xfId="1" applyNumberFormat="1" applyFon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11" fillId="6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13" fillId="0" borderId="5" xfId="0" applyFont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9" fillId="0" borderId="0" xfId="0" applyFont="1"/>
    <xf numFmtId="0" fontId="14" fillId="7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9" fillId="8" borderId="5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0" fontId="17" fillId="0" borderId="5" xfId="0" applyNumberFormat="1" applyFont="1" applyBorder="1" applyAlignment="1">
      <alignment horizontal="center" vertical="center"/>
    </xf>
    <xf numFmtId="10" fontId="17" fillId="0" borderId="6" xfId="0" applyNumberFormat="1" applyFont="1" applyBorder="1" applyAlignment="1">
      <alignment horizontal="center" vertical="center"/>
    </xf>
    <xf numFmtId="10" fontId="18" fillId="0" borderId="6" xfId="0" applyNumberFormat="1" applyFont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10" fontId="19" fillId="8" borderId="5" xfId="0" applyNumberFormat="1" applyFont="1" applyFill="1" applyBorder="1" applyAlignment="1">
      <alignment horizontal="center" vertical="center"/>
    </xf>
    <xf numFmtId="10" fontId="19" fillId="8" borderId="6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2" fontId="0" fillId="0" borderId="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6326-BDD9-4B1A-A480-AD82C5918C49}">
  <dimension ref="A1:I14"/>
  <sheetViews>
    <sheetView workbookViewId="0">
      <selection activeCell="I14" sqref="A1:I14"/>
    </sheetView>
  </sheetViews>
  <sheetFormatPr defaultRowHeight="15" x14ac:dyDescent="0.25"/>
  <cols>
    <col min="1" max="1" width="20.28515625" style="25" customWidth="1"/>
    <col min="2" max="2" width="19.5703125" style="25" bestFit="1" customWidth="1"/>
    <col min="3" max="3" width="13" customWidth="1"/>
    <col min="4" max="4" width="8.42578125" customWidth="1"/>
    <col min="5" max="5" width="9.140625" customWidth="1"/>
    <col min="6" max="6" width="9.42578125" customWidth="1"/>
    <col min="7" max="7" width="19.42578125" customWidth="1"/>
    <col min="8" max="8" width="8.85546875" bestFit="1" customWidth="1"/>
    <col min="9" max="9" width="11.85546875" customWidth="1"/>
  </cols>
  <sheetData>
    <row r="1" spans="1:9" ht="15.75" x14ac:dyDescent="0.25">
      <c r="A1" s="23" t="s">
        <v>0</v>
      </c>
      <c r="B1" s="23" t="s">
        <v>1</v>
      </c>
      <c r="C1" s="17" t="s">
        <v>2</v>
      </c>
      <c r="D1" s="18" t="s">
        <v>4</v>
      </c>
      <c r="E1" s="17" t="s">
        <v>5</v>
      </c>
      <c r="F1" s="18" t="s">
        <v>7</v>
      </c>
      <c r="G1" s="18" t="s">
        <v>8</v>
      </c>
      <c r="H1" s="18" t="s">
        <v>9</v>
      </c>
      <c r="I1" s="18" t="s">
        <v>10</v>
      </c>
    </row>
    <row r="2" spans="1:9" ht="31.5" x14ac:dyDescent="0.25">
      <c r="A2" s="23"/>
      <c r="B2" s="23"/>
      <c r="C2" s="19" t="s">
        <v>3</v>
      </c>
      <c r="D2" s="18"/>
      <c r="E2" s="17" t="s">
        <v>6</v>
      </c>
      <c r="F2" s="18"/>
      <c r="G2" s="18"/>
      <c r="H2" s="18"/>
      <c r="I2" s="18"/>
    </row>
    <row r="3" spans="1:9" ht="18.75" x14ac:dyDescent="0.3">
      <c r="A3" s="24" t="s">
        <v>45</v>
      </c>
      <c r="B3" s="24" t="s">
        <v>28</v>
      </c>
      <c r="C3" s="20">
        <v>6.23</v>
      </c>
      <c r="D3" s="21">
        <v>6.5</v>
      </c>
      <c r="E3" s="22">
        <v>5.96</v>
      </c>
      <c r="F3" s="22">
        <v>0.43</v>
      </c>
      <c r="G3" s="14">
        <f>E3+F3</f>
        <v>6.39</v>
      </c>
      <c r="H3" s="15">
        <v>0</v>
      </c>
      <c r="I3" s="16">
        <f>G3-D3</f>
        <v>-0.11000000000000032</v>
      </c>
    </row>
    <row r="4" spans="1:9" ht="18.75" x14ac:dyDescent="0.3">
      <c r="A4" s="24" t="s">
        <v>44</v>
      </c>
      <c r="B4" s="24" t="s">
        <v>29</v>
      </c>
      <c r="C4" s="20">
        <v>9.84</v>
      </c>
      <c r="D4" s="21">
        <v>11.5</v>
      </c>
      <c r="E4" s="22">
        <v>9.1</v>
      </c>
      <c r="F4" s="22">
        <v>1.2</v>
      </c>
      <c r="G4" s="14">
        <f t="shared" ref="G4:G13" si="0">E4+F4</f>
        <v>10.299999999999999</v>
      </c>
      <c r="H4" s="15">
        <v>0</v>
      </c>
      <c r="I4" s="16">
        <f t="shared" ref="I4:I13" si="1">G4-D4</f>
        <v>-1.2000000000000011</v>
      </c>
    </row>
    <row r="5" spans="1:9" ht="18.75" x14ac:dyDescent="0.3">
      <c r="A5" s="24" t="s">
        <v>43</v>
      </c>
      <c r="B5" s="24" t="s">
        <v>30</v>
      </c>
      <c r="C5" s="20">
        <v>3.81</v>
      </c>
      <c r="D5" s="21">
        <v>3.3</v>
      </c>
      <c r="E5" s="22">
        <v>2.2000000000000002</v>
      </c>
      <c r="F5" s="22">
        <v>0.96</v>
      </c>
      <c r="G5" s="14">
        <f t="shared" si="0"/>
        <v>3.16</v>
      </c>
      <c r="H5" s="15">
        <v>0</v>
      </c>
      <c r="I5" s="16">
        <f t="shared" si="1"/>
        <v>-0.13999999999999968</v>
      </c>
    </row>
    <row r="6" spans="1:9" ht="18.75" x14ac:dyDescent="0.3">
      <c r="A6" s="24" t="s">
        <v>36</v>
      </c>
      <c r="B6" s="24" t="s">
        <v>31</v>
      </c>
      <c r="C6" s="20">
        <v>0.34</v>
      </c>
      <c r="D6" s="21"/>
      <c r="E6" s="22">
        <v>0.6</v>
      </c>
      <c r="F6" s="22">
        <v>0.4</v>
      </c>
      <c r="G6" s="14">
        <f t="shared" si="0"/>
        <v>1</v>
      </c>
      <c r="H6" s="15">
        <v>0</v>
      </c>
      <c r="I6" s="16">
        <f t="shared" si="1"/>
        <v>1</v>
      </c>
    </row>
    <row r="7" spans="1:9" ht="18.75" x14ac:dyDescent="0.3">
      <c r="A7" s="24" t="s">
        <v>42</v>
      </c>
      <c r="B7" s="24" t="s">
        <v>32</v>
      </c>
      <c r="C7" s="20">
        <v>20.9</v>
      </c>
      <c r="D7" s="21">
        <v>21</v>
      </c>
      <c r="E7" s="22">
        <v>15.6</v>
      </c>
      <c r="F7" s="22">
        <v>3.4</v>
      </c>
      <c r="G7" s="14">
        <f t="shared" si="0"/>
        <v>19</v>
      </c>
      <c r="H7" s="15">
        <v>0</v>
      </c>
      <c r="I7" s="16">
        <f t="shared" si="1"/>
        <v>-2</v>
      </c>
    </row>
    <row r="8" spans="1:9" ht="18.75" x14ac:dyDescent="0.3">
      <c r="A8" s="24" t="s">
        <v>41</v>
      </c>
      <c r="B8" s="24" t="s">
        <v>46</v>
      </c>
      <c r="C8" s="20">
        <v>3.44</v>
      </c>
      <c r="D8" s="21">
        <v>3.5</v>
      </c>
      <c r="E8" s="22">
        <v>3.36</v>
      </c>
      <c r="F8" s="22">
        <v>0.02</v>
      </c>
      <c r="G8" s="14">
        <f t="shared" si="0"/>
        <v>3.38</v>
      </c>
      <c r="H8" s="15">
        <v>0</v>
      </c>
      <c r="I8" s="16">
        <f t="shared" si="1"/>
        <v>-0.12000000000000011</v>
      </c>
    </row>
    <row r="9" spans="1:9" ht="18.75" x14ac:dyDescent="0.3">
      <c r="A9" s="24" t="s">
        <v>40</v>
      </c>
      <c r="B9" s="24" t="s">
        <v>47</v>
      </c>
      <c r="C9" s="20">
        <v>3.98</v>
      </c>
      <c r="D9" s="21">
        <v>3.1</v>
      </c>
      <c r="E9" s="22">
        <v>2.76</v>
      </c>
      <c r="F9" s="22">
        <v>0.28000000000000003</v>
      </c>
      <c r="G9" s="14">
        <f t="shared" si="0"/>
        <v>3.04</v>
      </c>
      <c r="H9" s="15">
        <v>0</v>
      </c>
      <c r="I9" s="16">
        <f t="shared" si="1"/>
        <v>-6.0000000000000053E-2</v>
      </c>
    </row>
    <row r="10" spans="1:9" ht="18.75" x14ac:dyDescent="0.3">
      <c r="A10" s="24" t="s">
        <v>39</v>
      </c>
      <c r="B10" s="24" t="s">
        <v>33</v>
      </c>
      <c r="C10" s="20">
        <v>7.27</v>
      </c>
      <c r="D10" s="21">
        <v>8</v>
      </c>
      <c r="E10" s="22">
        <v>5.09</v>
      </c>
      <c r="F10" s="22">
        <v>1.82</v>
      </c>
      <c r="G10" s="14">
        <f t="shared" si="0"/>
        <v>6.91</v>
      </c>
      <c r="H10" s="15">
        <v>0</v>
      </c>
      <c r="I10" s="16">
        <f t="shared" si="1"/>
        <v>-1.0899999999999999</v>
      </c>
    </row>
    <row r="11" spans="1:9" ht="18.75" x14ac:dyDescent="0.3">
      <c r="A11" s="24" t="s">
        <v>11</v>
      </c>
      <c r="B11" s="24" t="s">
        <v>12</v>
      </c>
      <c r="C11" s="20">
        <v>14.8</v>
      </c>
      <c r="D11" s="21">
        <v>15.2</v>
      </c>
      <c r="E11" s="22">
        <v>14.3</v>
      </c>
      <c r="F11" s="22">
        <v>0.45</v>
      </c>
      <c r="G11" s="14">
        <f t="shared" si="0"/>
        <v>14.75</v>
      </c>
      <c r="H11" s="15">
        <v>0</v>
      </c>
      <c r="I11" s="16">
        <f t="shared" si="1"/>
        <v>-0.44999999999999929</v>
      </c>
    </row>
    <row r="12" spans="1:9" ht="18.75" x14ac:dyDescent="0.3">
      <c r="A12" s="24" t="s">
        <v>38</v>
      </c>
      <c r="B12" s="24" t="s">
        <v>34</v>
      </c>
      <c r="C12" s="20">
        <v>13.53</v>
      </c>
      <c r="D12" s="21">
        <v>15</v>
      </c>
      <c r="E12" s="22">
        <v>9.77</v>
      </c>
      <c r="F12" s="22">
        <v>4.5999999999999996</v>
      </c>
      <c r="G12" s="14">
        <f t="shared" si="0"/>
        <v>14.37</v>
      </c>
      <c r="H12" s="15">
        <v>0</v>
      </c>
      <c r="I12" s="16">
        <f t="shared" si="1"/>
        <v>-0.63000000000000078</v>
      </c>
    </row>
    <row r="13" spans="1:9" ht="18.75" x14ac:dyDescent="0.3">
      <c r="A13" s="24" t="s">
        <v>37</v>
      </c>
      <c r="B13" s="24" t="s">
        <v>35</v>
      </c>
      <c r="C13" s="20">
        <v>8.02</v>
      </c>
      <c r="D13" s="21">
        <v>8.5</v>
      </c>
      <c r="E13" s="22">
        <v>7.58</v>
      </c>
      <c r="F13" s="22">
        <v>0.85</v>
      </c>
      <c r="G13" s="14">
        <f t="shared" si="0"/>
        <v>8.43</v>
      </c>
      <c r="H13" s="15">
        <v>0</v>
      </c>
      <c r="I13" s="16">
        <f t="shared" si="1"/>
        <v>-7.0000000000000284E-2</v>
      </c>
    </row>
    <row r="14" spans="1:9" x14ac:dyDescent="0.25">
      <c r="A14" s="40"/>
      <c r="B14" s="40"/>
      <c r="C14" s="39">
        <f>SUM(C3:C13)</f>
        <v>92.159999999999982</v>
      </c>
      <c r="D14" s="39">
        <f t="shared" ref="D14:I14" si="2">SUM(D3:D13)</f>
        <v>95.6</v>
      </c>
      <c r="E14" s="39">
        <f t="shared" si="2"/>
        <v>76.319999999999993</v>
      </c>
      <c r="F14" s="39">
        <f t="shared" si="2"/>
        <v>14.409999999999998</v>
      </c>
      <c r="G14" s="39">
        <f t="shared" si="2"/>
        <v>90.72999999999999</v>
      </c>
      <c r="H14" s="39">
        <f t="shared" si="2"/>
        <v>0</v>
      </c>
      <c r="I14" s="39">
        <f t="shared" si="2"/>
        <v>-4.870000000000001</v>
      </c>
    </row>
  </sheetData>
  <mergeCells count="7">
    <mergeCell ref="I1:I2"/>
    <mergeCell ref="A1:A2"/>
    <mergeCell ref="B1:B2"/>
    <mergeCell ref="D1:D2"/>
    <mergeCell ref="F1:F2"/>
    <mergeCell ref="G1:G2"/>
    <mergeCell ref="H1:H2"/>
  </mergeCells>
  <pageMargins left="0.7" right="0.7" top="0.75" bottom="0.75" header="0.3" footer="0.3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1849-55B3-4995-8ED2-3C49C302CC22}">
  <dimension ref="A1:L20"/>
  <sheetViews>
    <sheetView tabSelected="1" topLeftCell="A5" workbookViewId="0">
      <selection sqref="A1:XFD4"/>
    </sheetView>
  </sheetViews>
  <sheetFormatPr defaultRowHeight="15" x14ac:dyDescent="0.25"/>
  <cols>
    <col min="1" max="1" width="15.42578125" customWidth="1"/>
    <col min="2" max="2" width="14" customWidth="1"/>
    <col min="3" max="3" width="11.28515625" customWidth="1"/>
    <col min="4" max="4" width="14" customWidth="1"/>
    <col min="5" max="5" width="15.140625" customWidth="1"/>
    <col min="6" max="10" width="17.28515625" customWidth="1"/>
  </cols>
  <sheetData>
    <row r="1" spans="1:12" ht="24" hidden="1" thickBot="1" x14ac:dyDescent="0.3">
      <c r="A1" s="1"/>
      <c r="B1" s="2" t="s">
        <v>13</v>
      </c>
      <c r="C1" s="2" t="s">
        <v>14</v>
      </c>
      <c r="D1" s="6" t="s">
        <v>20</v>
      </c>
      <c r="E1" s="7"/>
      <c r="F1" s="8"/>
      <c r="G1" s="6" t="s">
        <v>21</v>
      </c>
      <c r="H1" s="7"/>
      <c r="I1" s="8"/>
      <c r="J1" s="9"/>
      <c r="K1" s="2"/>
    </row>
    <row r="2" spans="1:12" ht="54.75" hidden="1" thickBot="1" x14ac:dyDescent="0.3">
      <c r="A2" s="2" t="s">
        <v>1</v>
      </c>
      <c r="B2" s="2" t="s">
        <v>16</v>
      </c>
      <c r="C2" s="2" t="s">
        <v>27</v>
      </c>
      <c r="D2" s="2" t="s">
        <v>17</v>
      </c>
      <c r="E2" s="2" t="s">
        <v>18</v>
      </c>
      <c r="F2" s="2" t="s">
        <v>19</v>
      </c>
      <c r="G2" s="2" t="s">
        <v>17</v>
      </c>
      <c r="H2" s="2" t="s">
        <v>18</v>
      </c>
      <c r="I2" s="2" t="s">
        <v>19</v>
      </c>
      <c r="J2" s="2" t="s">
        <v>22</v>
      </c>
      <c r="K2" s="2" t="s">
        <v>15</v>
      </c>
    </row>
    <row r="3" spans="1:12" ht="24" hidden="1" thickBot="1" x14ac:dyDescent="0.3">
      <c r="A3" s="3" t="s">
        <v>12</v>
      </c>
      <c r="B3" s="4">
        <v>20.81</v>
      </c>
      <c r="C3" s="4">
        <v>11.54</v>
      </c>
      <c r="D3" s="4">
        <v>5.63</v>
      </c>
      <c r="E3" s="4">
        <v>6.47</v>
      </c>
      <c r="F3" s="4">
        <f>D3+E3</f>
        <v>12.1</v>
      </c>
      <c r="G3" s="4">
        <v>5.96</v>
      </c>
      <c r="H3" s="4">
        <v>6.86</v>
      </c>
      <c r="I3" s="4">
        <f>G3+H3</f>
        <v>12.82</v>
      </c>
      <c r="J3" s="4">
        <f>I3-F3</f>
        <v>0.72000000000000064</v>
      </c>
      <c r="K3" s="5">
        <f>I3-C3</f>
        <v>1.2800000000000011</v>
      </c>
    </row>
    <row r="4" spans="1:12" hidden="1" x14ac:dyDescent="0.25"/>
    <row r="7" spans="1:12" ht="18" x14ac:dyDescent="0.25">
      <c r="A7" s="23" t="s">
        <v>0</v>
      </c>
      <c r="B7" s="23" t="s">
        <v>1</v>
      </c>
      <c r="C7" s="31"/>
      <c r="D7" s="31"/>
      <c r="E7" s="38" t="s">
        <v>20</v>
      </c>
      <c r="F7" s="38"/>
      <c r="G7" s="38"/>
      <c r="H7" s="38" t="s">
        <v>21</v>
      </c>
      <c r="I7" s="38"/>
      <c r="J7" s="38"/>
      <c r="K7" s="31"/>
      <c r="L7" s="31"/>
    </row>
    <row r="8" spans="1:12" ht="36" x14ac:dyDescent="0.25">
      <c r="A8" s="23"/>
      <c r="B8" s="23"/>
      <c r="C8" s="26" t="s">
        <v>3</v>
      </c>
      <c r="D8" s="31" t="s">
        <v>27</v>
      </c>
      <c r="E8" s="28" t="s">
        <v>17</v>
      </c>
      <c r="F8" s="28" t="s">
        <v>18</v>
      </c>
      <c r="G8" s="28" t="s">
        <v>19</v>
      </c>
      <c r="H8" s="28" t="s">
        <v>17</v>
      </c>
      <c r="I8" s="28" t="s">
        <v>18</v>
      </c>
      <c r="J8" s="28" t="s">
        <v>19</v>
      </c>
      <c r="K8" s="28" t="s">
        <v>22</v>
      </c>
      <c r="L8" s="28" t="s">
        <v>15</v>
      </c>
    </row>
    <row r="9" spans="1:12" x14ac:dyDescent="0.25">
      <c r="A9" s="24" t="s">
        <v>45</v>
      </c>
      <c r="B9" s="24" t="s">
        <v>28</v>
      </c>
      <c r="C9" s="13">
        <v>4.26</v>
      </c>
      <c r="D9" s="39">
        <v>5.26</v>
      </c>
      <c r="E9" s="31">
        <v>2.97</v>
      </c>
      <c r="F9" s="31">
        <v>1.29</v>
      </c>
      <c r="G9" s="31">
        <f>E9+F9</f>
        <v>4.26</v>
      </c>
      <c r="H9" s="70">
        <v>3.2056</v>
      </c>
      <c r="I9" s="70">
        <v>1.8578000000000001</v>
      </c>
      <c r="J9" s="31">
        <f>H9+I9</f>
        <v>5.0633999999999997</v>
      </c>
      <c r="K9" s="31">
        <f>J9-G9</f>
        <v>0.80339999999999989</v>
      </c>
      <c r="L9" s="31">
        <f>J9-D9</f>
        <v>-0.19660000000000011</v>
      </c>
    </row>
    <row r="10" spans="1:12" x14ac:dyDescent="0.25">
      <c r="A10" s="24" t="s">
        <v>44</v>
      </c>
      <c r="B10" s="24" t="s">
        <v>29</v>
      </c>
      <c r="C10" s="13">
        <v>7.94</v>
      </c>
      <c r="D10" s="39">
        <v>8.9400000000000013</v>
      </c>
      <c r="E10" s="31">
        <v>6.69</v>
      </c>
      <c r="F10" s="31">
        <v>1.32</v>
      </c>
      <c r="G10" s="31">
        <f t="shared" ref="G10:G19" si="0">E10+F10</f>
        <v>8.01</v>
      </c>
      <c r="H10" s="70">
        <v>6.9256000000000002</v>
      </c>
      <c r="I10" s="70">
        <v>1.8877999999999999</v>
      </c>
      <c r="J10" s="31">
        <f t="shared" ref="J10:J19" si="1">H10+I10</f>
        <v>8.8133999999999997</v>
      </c>
      <c r="K10" s="31">
        <f t="shared" ref="K10:K19" si="2">J10-G10</f>
        <v>0.80339999999999989</v>
      </c>
      <c r="L10" s="31">
        <f t="shared" ref="L10:L19" si="3">J10-D10</f>
        <v>-0.1266000000000016</v>
      </c>
    </row>
    <row r="11" spans="1:12" x14ac:dyDescent="0.25">
      <c r="A11" s="24" t="s">
        <v>43</v>
      </c>
      <c r="B11" s="24" t="s">
        <v>30</v>
      </c>
      <c r="C11" s="13">
        <v>2.12</v>
      </c>
      <c r="D11" s="39">
        <v>3.12</v>
      </c>
      <c r="E11" s="31">
        <v>1.68</v>
      </c>
      <c r="F11" s="31">
        <v>0.44</v>
      </c>
      <c r="G11" s="31">
        <f t="shared" si="0"/>
        <v>2.12</v>
      </c>
      <c r="H11" s="70">
        <v>1.9156</v>
      </c>
      <c r="I11" s="70">
        <v>1.0078</v>
      </c>
      <c r="J11" s="31">
        <f t="shared" si="1"/>
        <v>2.9234</v>
      </c>
      <c r="K11" s="31">
        <f t="shared" si="2"/>
        <v>0.80339999999999989</v>
      </c>
      <c r="L11" s="31">
        <f t="shared" si="3"/>
        <v>-0.19660000000000011</v>
      </c>
    </row>
    <row r="12" spans="1:12" x14ac:dyDescent="0.25">
      <c r="A12" s="24" t="s">
        <v>36</v>
      </c>
      <c r="B12" s="24" t="s">
        <v>31</v>
      </c>
      <c r="C12" s="13"/>
      <c r="D12" s="39">
        <v>1</v>
      </c>
      <c r="E12" s="31">
        <v>0.23</v>
      </c>
      <c r="F12" s="31">
        <v>0.11</v>
      </c>
      <c r="G12" s="31">
        <f t="shared" si="0"/>
        <v>0.34</v>
      </c>
      <c r="H12" s="70">
        <v>0.46560000000000001</v>
      </c>
      <c r="I12" s="70">
        <v>0.67779999999999996</v>
      </c>
      <c r="J12" s="31">
        <f t="shared" si="1"/>
        <v>1.1434</v>
      </c>
      <c r="K12" s="31">
        <f t="shared" si="2"/>
        <v>0.80339999999999989</v>
      </c>
      <c r="L12" s="31">
        <f t="shared" si="3"/>
        <v>0.14339999999999997</v>
      </c>
    </row>
    <row r="13" spans="1:12" x14ac:dyDescent="0.25">
      <c r="A13" s="24" t="s">
        <v>42</v>
      </c>
      <c r="B13" s="24" t="s">
        <v>32</v>
      </c>
      <c r="C13" s="13">
        <v>14.24</v>
      </c>
      <c r="D13" s="39">
        <v>15.24</v>
      </c>
      <c r="E13" s="31">
        <v>11.24</v>
      </c>
      <c r="F13" s="31">
        <v>3.01</v>
      </c>
      <c r="G13" s="31">
        <f t="shared" si="0"/>
        <v>14.25</v>
      </c>
      <c r="H13" s="70">
        <v>11.4756</v>
      </c>
      <c r="I13" s="70">
        <v>3.5777999999999999</v>
      </c>
      <c r="J13" s="31">
        <f t="shared" si="1"/>
        <v>15.0534</v>
      </c>
      <c r="K13" s="31">
        <f t="shared" si="2"/>
        <v>0.80339999999999989</v>
      </c>
      <c r="L13" s="31">
        <f t="shared" si="3"/>
        <v>-0.18660000000000032</v>
      </c>
    </row>
    <row r="14" spans="1:12" x14ac:dyDescent="0.25">
      <c r="A14" s="24" t="s">
        <v>41</v>
      </c>
      <c r="B14" s="24" t="s">
        <v>46</v>
      </c>
      <c r="C14" s="13">
        <v>2.5099999999999998</v>
      </c>
      <c r="D14" s="39">
        <v>3.51</v>
      </c>
      <c r="E14" s="31">
        <v>1.74</v>
      </c>
      <c r="F14" s="31">
        <v>0.32</v>
      </c>
      <c r="G14" s="31">
        <f t="shared" si="0"/>
        <v>2.06</v>
      </c>
      <c r="H14" s="70">
        <v>1.9756</v>
      </c>
      <c r="I14" s="70">
        <v>0.88779999999999992</v>
      </c>
      <c r="J14" s="31">
        <f t="shared" si="1"/>
        <v>2.8633999999999999</v>
      </c>
      <c r="K14" s="31">
        <f t="shared" si="2"/>
        <v>0.80339999999999989</v>
      </c>
      <c r="L14" s="31">
        <f t="shared" si="3"/>
        <v>-0.64659999999999984</v>
      </c>
    </row>
    <row r="15" spans="1:12" x14ac:dyDescent="0.25">
      <c r="A15" s="24" t="s">
        <v>40</v>
      </c>
      <c r="B15" s="24" t="s">
        <v>47</v>
      </c>
      <c r="C15" s="13">
        <v>2.62</v>
      </c>
      <c r="D15" s="39">
        <v>3.62</v>
      </c>
      <c r="E15" s="31">
        <v>1.72</v>
      </c>
      <c r="F15" s="31">
        <v>0.6</v>
      </c>
      <c r="G15" s="31">
        <f t="shared" si="0"/>
        <v>2.3199999999999998</v>
      </c>
      <c r="H15" s="70">
        <v>1.9556</v>
      </c>
      <c r="I15" s="70">
        <v>1.1677999999999999</v>
      </c>
      <c r="J15" s="31">
        <f t="shared" si="1"/>
        <v>3.1234000000000002</v>
      </c>
      <c r="K15" s="31">
        <f t="shared" si="2"/>
        <v>0.80340000000000034</v>
      </c>
      <c r="L15" s="31">
        <f t="shared" si="3"/>
        <v>-0.49659999999999993</v>
      </c>
    </row>
    <row r="16" spans="1:12" x14ac:dyDescent="0.25">
      <c r="A16" s="24" t="s">
        <v>39</v>
      </c>
      <c r="B16" s="24" t="s">
        <v>33</v>
      </c>
      <c r="C16" s="13">
        <v>4.92</v>
      </c>
      <c r="D16" s="39">
        <v>5.92</v>
      </c>
      <c r="E16" s="31">
        <v>3.92</v>
      </c>
      <c r="F16" s="31">
        <v>1</v>
      </c>
      <c r="G16" s="31">
        <f t="shared" si="0"/>
        <v>4.92</v>
      </c>
      <c r="H16" s="70">
        <v>4.1555999999999997</v>
      </c>
      <c r="I16" s="70">
        <v>1.5678000000000001</v>
      </c>
      <c r="J16" s="31">
        <f t="shared" si="1"/>
        <v>5.7233999999999998</v>
      </c>
      <c r="K16" s="31">
        <f t="shared" si="2"/>
        <v>0.80339999999999989</v>
      </c>
      <c r="L16" s="31">
        <f t="shared" si="3"/>
        <v>-0.19660000000000011</v>
      </c>
    </row>
    <row r="17" spans="1:12" x14ac:dyDescent="0.25">
      <c r="A17" s="24" t="s">
        <v>11</v>
      </c>
      <c r="B17" s="24" t="s">
        <v>12</v>
      </c>
      <c r="C17" s="13">
        <v>11.38</v>
      </c>
      <c r="D17" s="39">
        <v>12.38</v>
      </c>
      <c r="E17" s="31">
        <v>9.02</v>
      </c>
      <c r="F17" s="31">
        <v>2.17</v>
      </c>
      <c r="G17" s="31">
        <f t="shared" si="0"/>
        <v>11.19</v>
      </c>
      <c r="H17" s="70">
        <v>9.2555999999999994</v>
      </c>
      <c r="I17" s="70">
        <v>2.7378</v>
      </c>
      <c r="J17" s="31">
        <f t="shared" si="1"/>
        <v>11.993399999999999</v>
      </c>
      <c r="K17" s="31">
        <f t="shared" si="2"/>
        <v>0.80339999999999989</v>
      </c>
      <c r="L17" s="31">
        <f t="shared" si="3"/>
        <v>-0.38660000000000139</v>
      </c>
    </row>
    <row r="18" spans="1:12" x14ac:dyDescent="0.25">
      <c r="A18" s="24" t="s">
        <v>38</v>
      </c>
      <c r="B18" s="24" t="s">
        <v>34</v>
      </c>
      <c r="C18" s="13">
        <v>11</v>
      </c>
      <c r="D18" s="39">
        <v>12</v>
      </c>
      <c r="E18" s="31">
        <v>8.58</v>
      </c>
      <c r="F18" s="31">
        <v>2.23</v>
      </c>
      <c r="G18" s="31">
        <f t="shared" si="0"/>
        <v>10.81</v>
      </c>
      <c r="H18" s="70">
        <v>8.8155999999999999</v>
      </c>
      <c r="I18" s="70">
        <v>2.7978000000000001</v>
      </c>
      <c r="J18" s="31">
        <f t="shared" si="1"/>
        <v>11.6134</v>
      </c>
      <c r="K18" s="31">
        <f t="shared" si="2"/>
        <v>0.80339999999999989</v>
      </c>
      <c r="L18" s="31">
        <f t="shared" si="3"/>
        <v>-0.38659999999999961</v>
      </c>
    </row>
    <row r="19" spans="1:12" x14ac:dyDescent="0.25">
      <c r="A19" s="24" t="s">
        <v>37</v>
      </c>
      <c r="B19" s="24" t="s">
        <v>35</v>
      </c>
      <c r="C19" s="13">
        <v>6.55</v>
      </c>
      <c r="D19" s="39">
        <v>7.55</v>
      </c>
      <c r="E19" s="31">
        <v>5.4</v>
      </c>
      <c r="F19" s="31">
        <v>0.95</v>
      </c>
      <c r="G19" s="31">
        <f t="shared" si="0"/>
        <v>6.3500000000000005</v>
      </c>
      <c r="H19" s="70">
        <v>5.6356000000000002</v>
      </c>
      <c r="I19" s="70">
        <v>1.5177999999999998</v>
      </c>
      <c r="J19" s="31">
        <f t="shared" si="1"/>
        <v>7.1533999999999995</v>
      </c>
      <c r="K19" s="31">
        <f t="shared" si="2"/>
        <v>0.803399999999999</v>
      </c>
      <c r="L19" s="31">
        <f t="shared" si="3"/>
        <v>-0.39660000000000029</v>
      </c>
    </row>
    <row r="20" spans="1:12" x14ac:dyDescent="0.25">
      <c r="A20" s="31"/>
      <c r="B20" s="31"/>
      <c r="C20" s="37">
        <v>67.55</v>
      </c>
      <c r="D20" s="39">
        <v>68.55</v>
      </c>
      <c r="E20" s="31">
        <f>SUM(E9:E19)</f>
        <v>53.189999999999991</v>
      </c>
      <c r="F20" s="31">
        <f t="shared" ref="F20:L20" si="4">SUM(F9:F19)</f>
        <v>13.44</v>
      </c>
      <c r="G20" s="31">
        <f t="shared" si="4"/>
        <v>66.63</v>
      </c>
      <c r="H20" s="31">
        <f t="shared" si="4"/>
        <v>55.781599999999997</v>
      </c>
      <c r="I20" s="31">
        <f t="shared" si="4"/>
        <v>19.6858</v>
      </c>
      <c r="J20" s="31">
        <f t="shared" si="4"/>
        <v>75.467400000000012</v>
      </c>
      <c r="K20" s="31">
        <f t="shared" si="4"/>
        <v>8.8373999999999988</v>
      </c>
      <c r="L20" s="31">
        <f t="shared" si="4"/>
        <v>-3.0726000000000031</v>
      </c>
    </row>
  </sheetData>
  <mergeCells count="6">
    <mergeCell ref="D1:F1"/>
    <mergeCell ref="G1:I1"/>
    <mergeCell ref="A7:A8"/>
    <mergeCell ref="B7:B8"/>
    <mergeCell ref="E7:G7"/>
    <mergeCell ref="H7:J7"/>
  </mergeCells>
  <pageMargins left="0.7" right="0.7" top="0.75" bottom="0.75" header="0.3" footer="0.3"/>
  <headerFooter>
    <oddFooter>&amp;L_x000D_&amp;1#&amp;"Aptos"&amp;10&amp;K000000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F1B8-828F-482D-ABAD-E786D75B199C}">
  <dimension ref="A1:X16"/>
  <sheetViews>
    <sheetView workbookViewId="0">
      <selection activeCell="L3" sqref="L3:L16"/>
    </sheetView>
  </sheetViews>
  <sheetFormatPr defaultRowHeight="15" x14ac:dyDescent="0.25"/>
  <cols>
    <col min="1" max="1" width="8" bestFit="1" customWidth="1"/>
    <col min="2" max="2" width="7" bestFit="1" customWidth="1"/>
    <col min="3" max="3" width="10.7109375" bestFit="1" customWidth="1"/>
    <col min="4" max="4" width="8" bestFit="1" customWidth="1"/>
    <col min="5" max="5" width="6" bestFit="1" customWidth="1"/>
    <col min="6" max="6" width="8.85546875" bestFit="1" customWidth="1"/>
    <col min="7" max="7" width="7" bestFit="1" customWidth="1"/>
  </cols>
  <sheetData>
    <row r="1" spans="1:24" ht="15.75" thickBot="1" x14ac:dyDescent="0.3">
      <c r="A1" s="50" t="s">
        <v>64</v>
      </c>
      <c r="B1" s="50"/>
      <c r="C1" s="50"/>
      <c r="D1" s="50"/>
      <c r="E1" s="50"/>
      <c r="F1" s="50"/>
      <c r="G1" s="50"/>
      <c r="I1" s="51"/>
      <c r="J1" s="51"/>
      <c r="K1" s="67" t="s">
        <v>71</v>
      </c>
      <c r="L1" s="68"/>
      <c r="M1" s="69"/>
      <c r="N1" s="52"/>
      <c r="O1" s="51"/>
      <c r="P1" s="50" t="s">
        <v>72</v>
      </c>
      <c r="Q1" s="50"/>
      <c r="R1" s="50"/>
      <c r="S1" s="50"/>
      <c r="T1" s="51"/>
      <c r="U1" s="50" t="s">
        <v>73</v>
      </c>
      <c r="V1" s="50"/>
      <c r="W1" s="50"/>
      <c r="X1" s="50"/>
    </row>
    <row r="2" spans="1:24" ht="60.75" thickBot="1" x14ac:dyDescent="0.3">
      <c r="A2" s="42" t="s">
        <v>0</v>
      </c>
      <c r="B2" s="43" t="s">
        <v>65</v>
      </c>
      <c r="C2" s="44" t="s">
        <v>66</v>
      </c>
      <c r="D2" s="44" t="s">
        <v>67</v>
      </c>
      <c r="E2" s="44" t="s">
        <v>7</v>
      </c>
      <c r="F2" s="43" t="s">
        <v>68</v>
      </c>
      <c r="G2" s="43" t="s">
        <v>10</v>
      </c>
      <c r="I2" s="53" t="s">
        <v>74</v>
      </c>
      <c r="J2" s="54" t="s">
        <v>75</v>
      </c>
      <c r="K2" s="55" t="s">
        <v>76</v>
      </c>
      <c r="L2" s="43" t="s">
        <v>77</v>
      </c>
      <c r="M2" s="43" t="s">
        <v>15</v>
      </c>
      <c r="N2" s="43" t="s">
        <v>78</v>
      </c>
      <c r="O2" s="56"/>
      <c r="P2" s="57" t="s">
        <v>79</v>
      </c>
      <c r="Q2" s="58" t="s">
        <v>80</v>
      </c>
      <c r="R2" s="49" t="s">
        <v>15</v>
      </c>
      <c r="S2" s="43" t="s">
        <v>81</v>
      </c>
      <c r="T2" s="56"/>
      <c r="U2" s="55" t="s">
        <v>82</v>
      </c>
      <c r="V2" s="43" t="s">
        <v>83</v>
      </c>
      <c r="W2" s="58" t="s">
        <v>84</v>
      </c>
      <c r="X2" s="49" t="s">
        <v>15</v>
      </c>
    </row>
    <row r="3" spans="1:24" ht="15.75" thickBot="1" x14ac:dyDescent="0.3">
      <c r="A3" s="41" t="s">
        <v>42</v>
      </c>
      <c r="B3" s="45">
        <v>16.489999999999998</v>
      </c>
      <c r="C3" s="46">
        <v>20</v>
      </c>
      <c r="D3" s="46">
        <v>16.2</v>
      </c>
      <c r="E3" s="46">
        <v>3.8</v>
      </c>
      <c r="F3" s="45">
        <v>20</v>
      </c>
      <c r="G3" s="47">
        <v>0</v>
      </c>
      <c r="I3" s="59">
        <v>13.63</v>
      </c>
      <c r="J3" s="45">
        <v>14.24</v>
      </c>
      <c r="K3" s="45">
        <v>12.11</v>
      </c>
      <c r="L3" s="47">
        <v>11.24</v>
      </c>
      <c r="M3" s="47">
        <v>-0.87</v>
      </c>
      <c r="N3" s="47">
        <v>0</v>
      </c>
      <c r="O3" s="51"/>
      <c r="P3" s="60">
        <v>2.14</v>
      </c>
      <c r="Q3" s="47">
        <v>3.01</v>
      </c>
      <c r="R3" s="47">
        <v>0.87</v>
      </c>
      <c r="S3" s="45">
        <v>0</v>
      </c>
      <c r="T3" s="51"/>
      <c r="U3" s="61">
        <v>0.38629999999999998</v>
      </c>
      <c r="V3" s="62">
        <v>0.31850000000000001</v>
      </c>
      <c r="W3" s="62">
        <v>0.2878</v>
      </c>
      <c r="X3" s="63">
        <v>-3.0700000000000002E-2</v>
      </c>
    </row>
    <row r="4" spans="1:24" ht="15.75" thickBot="1" x14ac:dyDescent="0.3">
      <c r="A4" s="41" t="s">
        <v>59</v>
      </c>
      <c r="B4" s="45">
        <v>16.28</v>
      </c>
      <c r="C4" s="46">
        <v>14.75</v>
      </c>
      <c r="D4" s="46">
        <v>14.3</v>
      </c>
      <c r="E4" s="46">
        <v>0.45</v>
      </c>
      <c r="F4" s="45">
        <v>14.75</v>
      </c>
      <c r="G4" s="47">
        <v>0</v>
      </c>
      <c r="I4" s="59">
        <v>11.15</v>
      </c>
      <c r="J4" s="45">
        <v>11.19</v>
      </c>
      <c r="K4" s="45">
        <v>9.51</v>
      </c>
      <c r="L4" s="47">
        <v>9.02</v>
      </c>
      <c r="M4" s="47">
        <v>-0.49</v>
      </c>
      <c r="N4" s="47">
        <v>0</v>
      </c>
      <c r="O4" s="51"/>
      <c r="P4" s="60">
        <v>1.68</v>
      </c>
      <c r="Q4" s="47">
        <v>2.17</v>
      </c>
      <c r="R4" s="47">
        <v>0.49</v>
      </c>
      <c r="S4" s="45">
        <v>0</v>
      </c>
      <c r="T4" s="51"/>
      <c r="U4" s="61">
        <v>0.32150000000000001</v>
      </c>
      <c r="V4" s="62">
        <v>0.24399999999999999</v>
      </c>
      <c r="W4" s="62">
        <v>0.24149999999999999</v>
      </c>
      <c r="X4" s="63">
        <v>-2.5999999999999999E-3</v>
      </c>
    </row>
    <row r="5" spans="1:24" ht="15.75" thickBot="1" x14ac:dyDescent="0.3">
      <c r="A5" s="41" t="s">
        <v>38</v>
      </c>
      <c r="B5" s="45">
        <v>16</v>
      </c>
      <c r="C5" s="46">
        <v>14.37</v>
      </c>
      <c r="D5" s="46">
        <v>9.77</v>
      </c>
      <c r="E5" s="46">
        <v>4.5999999999999996</v>
      </c>
      <c r="F5" s="45">
        <v>14.37</v>
      </c>
      <c r="G5" s="47">
        <v>0</v>
      </c>
      <c r="I5" s="59">
        <v>11.48</v>
      </c>
      <c r="J5" s="45">
        <v>10.81</v>
      </c>
      <c r="K5" s="45">
        <v>9.19</v>
      </c>
      <c r="L5" s="47">
        <v>8.58</v>
      </c>
      <c r="M5" s="47">
        <v>-0.61</v>
      </c>
      <c r="N5" s="47">
        <v>0</v>
      </c>
      <c r="O5" s="51"/>
      <c r="P5" s="60">
        <v>1.62</v>
      </c>
      <c r="Q5" s="47">
        <v>2.23</v>
      </c>
      <c r="R5" s="47">
        <v>0.61</v>
      </c>
      <c r="S5" s="45">
        <v>0</v>
      </c>
      <c r="T5" s="51"/>
      <c r="U5" s="61">
        <v>0.33879999999999999</v>
      </c>
      <c r="V5" s="62">
        <v>0.20100000000000001</v>
      </c>
      <c r="W5" s="62">
        <v>0.2477</v>
      </c>
      <c r="X5" s="63">
        <v>4.6699999999999998E-2</v>
      </c>
    </row>
    <row r="6" spans="1:24" ht="15.75" thickBot="1" x14ac:dyDescent="0.3">
      <c r="A6" s="41" t="s">
        <v>37</v>
      </c>
      <c r="B6" s="45">
        <v>9.6</v>
      </c>
      <c r="C6" s="46">
        <v>8.42</v>
      </c>
      <c r="D6" s="46">
        <v>7.58</v>
      </c>
      <c r="E6" s="46">
        <v>0.85</v>
      </c>
      <c r="F6" s="45">
        <v>8.42</v>
      </c>
      <c r="G6" s="47">
        <v>0</v>
      </c>
      <c r="I6" s="59">
        <v>6.68</v>
      </c>
      <c r="J6" s="45">
        <v>6.36</v>
      </c>
      <c r="K6" s="45">
        <v>5.4</v>
      </c>
      <c r="L6" s="47">
        <v>5.4</v>
      </c>
      <c r="M6" s="47">
        <v>0</v>
      </c>
      <c r="N6" s="47">
        <v>0</v>
      </c>
      <c r="O6" s="51"/>
      <c r="P6" s="60">
        <v>0.95</v>
      </c>
      <c r="Q6" s="47">
        <v>0.95</v>
      </c>
      <c r="R6" s="47">
        <v>0</v>
      </c>
      <c r="S6" s="45">
        <v>0</v>
      </c>
      <c r="T6" s="51"/>
      <c r="U6" s="61">
        <v>0.3216</v>
      </c>
      <c r="V6" s="62">
        <v>0.2072</v>
      </c>
      <c r="W6" s="62">
        <v>0.245</v>
      </c>
      <c r="X6" s="63">
        <v>3.78E-2</v>
      </c>
    </row>
    <row r="7" spans="1:24" ht="15.75" thickBot="1" x14ac:dyDescent="0.3">
      <c r="A7" s="41" t="s">
        <v>50</v>
      </c>
      <c r="B7" s="45">
        <v>10.52</v>
      </c>
      <c r="C7" s="46">
        <v>10.3</v>
      </c>
      <c r="D7" s="46">
        <v>9.1</v>
      </c>
      <c r="E7" s="46">
        <v>1.2</v>
      </c>
      <c r="F7" s="45">
        <v>10.3</v>
      </c>
      <c r="G7" s="47">
        <v>0</v>
      </c>
      <c r="I7" s="59">
        <v>8.41</v>
      </c>
      <c r="J7" s="45">
        <v>8.01</v>
      </c>
      <c r="K7" s="45">
        <v>6.81</v>
      </c>
      <c r="L7" s="47">
        <v>6.69</v>
      </c>
      <c r="M7" s="47">
        <v>-0.12</v>
      </c>
      <c r="N7" s="47">
        <v>0</v>
      </c>
      <c r="O7" s="51"/>
      <c r="P7" s="60">
        <v>1.2</v>
      </c>
      <c r="Q7" s="47">
        <v>1.32</v>
      </c>
      <c r="R7" s="47">
        <v>0.12</v>
      </c>
      <c r="S7" s="45">
        <v>0</v>
      </c>
      <c r="T7" s="51"/>
      <c r="U7" s="61">
        <v>0.20549999999999999</v>
      </c>
      <c r="V7" s="62">
        <v>0.1835</v>
      </c>
      <c r="W7" s="62">
        <v>0.2223</v>
      </c>
      <c r="X7" s="63">
        <v>3.8800000000000001E-2</v>
      </c>
    </row>
    <row r="8" spans="1:24" ht="15.75" thickBot="1" x14ac:dyDescent="0.3">
      <c r="A8" s="41" t="s">
        <v>39</v>
      </c>
      <c r="B8" s="45">
        <v>9.31</v>
      </c>
      <c r="C8" s="46">
        <v>6.91</v>
      </c>
      <c r="D8" s="46">
        <v>5.09</v>
      </c>
      <c r="E8" s="46">
        <v>1.82</v>
      </c>
      <c r="F8" s="45">
        <v>6.91</v>
      </c>
      <c r="G8" s="47">
        <v>0</v>
      </c>
      <c r="I8" s="59">
        <v>4.78</v>
      </c>
      <c r="J8" s="45">
        <v>4.91</v>
      </c>
      <c r="K8" s="45">
        <v>4.18</v>
      </c>
      <c r="L8" s="47">
        <v>3.92</v>
      </c>
      <c r="M8" s="47">
        <v>-0.26</v>
      </c>
      <c r="N8" s="47">
        <v>0</v>
      </c>
      <c r="O8" s="51"/>
      <c r="P8" s="60">
        <v>0.74</v>
      </c>
      <c r="Q8" s="47">
        <v>1</v>
      </c>
      <c r="R8" s="47">
        <v>0.26</v>
      </c>
      <c r="S8" s="45">
        <v>0</v>
      </c>
      <c r="T8" s="51"/>
      <c r="U8" s="61">
        <v>0.45050000000000001</v>
      </c>
      <c r="V8" s="62">
        <v>0.308</v>
      </c>
      <c r="W8" s="62">
        <v>0.28899999999999998</v>
      </c>
      <c r="X8" s="63">
        <v>-1.9E-2</v>
      </c>
    </row>
    <row r="9" spans="1:24" ht="15.75" thickBot="1" x14ac:dyDescent="0.3">
      <c r="A9" s="41" t="s">
        <v>60</v>
      </c>
      <c r="B9" s="45">
        <v>7.24</v>
      </c>
      <c r="C9" s="46">
        <v>6.39</v>
      </c>
      <c r="D9" s="46">
        <v>5.96</v>
      </c>
      <c r="E9" s="46">
        <v>0.43</v>
      </c>
      <c r="F9" s="45">
        <v>6.39</v>
      </c>
      <c r="G9" s="47">
        <v>0</v>
      </c>
      <c r="I9" s="59">
        <v>4.38</v>
      </c>
      <c r="J9" s="45">
        <v>4.26</v>
      </c>
      <c r="K9" s="45">
        <v>3.62</v>
      </c>
      <c r="L9" s="47">
        <v>2.97</v>
      </c>
      <c r="M9" s="47">
        <v>-0.65</v>
      </c>
      <c r="N9" s="47">
        <v>0</v>
      </c>
      <c r="O9" s="51"/>
      <c r="P9" s="60">
        <v>0.64</v>
      </c>
      <c r="Q9" s="47">
        <v>1.29</v>
      </c>
      <c r="R9" s="47">
        <v>0.65</v>
      </c>
      <c r="S9" s="45">
        <v>0</v>
      </c>
      <c r="T9" s="51"/>
      <c r="U9" s="61">
        <v>0.40510000000000002</v>
      </c>
      <c r="V9" s="62">
        <v>0.31519999999999998</v>
      </c>
      <c r="W9" s="62">
        <v>0.33339999999999997</v>
      </c>
      <c r="X9" s="63">
        <v>1.8200000000000001E-2</v>
      </c>
    </row>
    <row r="10" spans="1:24" ht="15.75" thickBot="1" x14ac:dyDescent="0.3">
      <c r="A10" s="41" t="s">
        <v>40</v>
      </c>
      <c r="B10" s="45">
        <v>3.13</v>
      </c>
      <c r="C10" s="46">
        <v>3.04</v>
      </c>
      <c r="D10" s="46">
        <v>2.76</v>
      </c>
      <c r="E10" s="46">
        <v>0.28000000000000003</v>
      </c>
      <c r="F10" s="45">
        <v>3.04</v>
      </c>
      <c r="G10" s="47">
        <v>0</v>
      </c>
      <c r="I10" s="59">
        <v>2.09</v>
      </c>
      <c r="J10" s="45">
        <v>2.74</v>
      </c>
      <c r="K10" s="45">
        <v>2.33</v>
      </c>
      <c r="L10" s="47">
        <v>1.72</v>
      </c>
      <c r="M10" s="47">
        <v>-0.6</v>
      </c>
      <c r="N10" s="47">
        <v>0</v>
      </c>
      <c r="O10" s="51"/>
      <c r="P10" s="60">
        <v>0.41</v>
      </c>
      <c r="Q10" s="47">
        <v>1.01</v>
      </c>
      <c r="R10" s="47">
        <v>0.6</v>
      </c>
      <c r="S10" s="45">
        <v>0</v>
      </c>
      <c r="T10" s="51"/>
      <c r="U10" s="61">
        <v>0.36470000000000002</v>
      </c>
      <c r="V10" s="62">
        <v>0.31240000000000001</v>
      </c>
      <c r="W10" s="62">
        <v>0.10009999999999999</v>
      </c>
      <c r="X10" s="63">
        <v>-0.21229999999999999</v>
      </c>
    </row>
    <row r="11" spans="1:24" ht="15.75" thickBot="1" x14ac:dyDescent="0.3">
      <c r="A11" s="41" t="s">
        <v>43</v>
      </c>
      <c r="B11" s="45">
        <v>3.74</v>
      </c>
      <c r="C11" s="46">
        <v>3.16</v>
      </c>
      <c r="D11" s="46">
        <v>2.2000000000000002</v>
      </c>
      <c r="E11" s="46">
        <v>0.96</v>
      </c>
      <c r="F11" s="45">
        <v>3.16</v>
      </c>
      <c r="G11" s="47">
        <v>0</v>
      </c>
      <c r="I11" s="59">
        <v>1.61</v>
      </c>
      <c r="J11" s="45">
        <v>2.11</v>
      </c>
      <c r="K11" s="45">
        <v>1.8</v>
      </c>
      <c r="L11" s="47">
        <v>1.68</v>
      </c>
      <c r="M11" s="47">
        <v>-0.12</v>
      </c>
      <c r="N11" s="47">
        <v>0</v>
      </c>
      <c r="O11" s="51"/>
      <c r="P11" s="60">
        <v>0.32</v>
      </c>
      <c r="Q11" s="47">
        <v>0.44</v>
      </c>
      <c r="R11" s="47">
        <v>0.12</v>
      </c>
      <c r="S11" s="45">
        <v>0</v>
      </c>
      <c r="T11" s="51"/>
      <c r="U11" s="61">
        <v>0.66320000000000001</v>
      </c>
      <c r="V11" s="62">
        <v>0.49049999999999999</v>
      </c>
      <c r="W11" s="62">
        <v>0.33029999999999998</v>
      </c>
      <c r="X11" s="63">
        <v>-0.1603</v>
      </c>
    </row>
    <row r="12" spans="1:24" ht="15.75" thickBot="1" x14ac:dyDescent="0.3">
      <c r="A12" s="41" t="s">
        <v>41</v>
      </c>
      <c r="B12" s="45">
        <v>3.16</v>
      </c>
      <c r="C12" s="46">
        <v>3.38</v>
      </c>
      <c r="D12" s="46">
        <v>3.36</v>
      </c>
      <c r="E12" s="46">
        <v>0.02</v>
      </c>
      <c r="F12" s="45">
        <v>3.38</v>
      </c>
      <c r="G12" s="47">
        <v>0</v>
      </c>
      <c r="I12" s="59">
        <v>2.38</v>
      </c>
      <c r="J12" s="45">
        <v>2.42</v>
      </c>
      <c r="K12" s="45">
        <v>2.06</v>
      </c>
      <c r="L12" s="47">
        <v>1.74</v>
      </c>
      <c r="M12" s="47">
        <v>-0.32</v>
      </c>
      <c r="N12" s="47">
        <v>0</v>
      </c>
      <c r="O12" s="51"/>
      <c r="P12" s="60">
        <v>0.36</v>
      </c>
      <c r="Q12" s="47">
        <v>0.69</v>
      </c>
      <c r="R12" s="47">
        <v>0.32</v>
      </c>
      <c r="S12" s="45">
        <v>0</v>
      </c>
      <c r="T12" s="51"/>
      <c r="U12" s="61">
        <v>0.29289999999999999</v>
      </c>
      <c r="V12" s="62">
        <v>0.2954</v>
      </c>
      <c r="W12" s="62">
        <v>0.28289999999999998</v>
      </c>
      <c r="X12" s="63">
        <v>-1.2500000000000001E-2</v>
      </c>
    </row>
    <row r="13" spans="1:24" ht="15.75" thickBot="1" x14ac:dyDescent="0.3">
      <c r="A13" s="41" t="s">
        <v>61</v>
      </c>
      <c r="B13" s="45">
        <v>3.48</v>
      </c>
      <c r="C13" s="12">
        <v>3.05</v>
      </c>
      <c r="D13" s="12">
        <v>3.05</v>
      </c>
      <c r="E13" s="12">
        <v>0</v>
      </c>
      <c r="F13" s="45">
        <v>3.05</v>
      </c>
      <c r="G13" s="47">
        <v>0</v>
      </c>
      <c r="I13" s="59">
        <v>6.8</v>
      </c>
      <c r="J13" s="47">
        <v>1.89</v>
      </c>
      <c r="K13" s="45">
        <v>1.61</v>
      </c>
      <c r="L13" s="47">
        <v>0.69</v>
      </c>
      <c r="M13" s="47">
        <v>-0.92</v>
      </c>
      <c r="N13" s="47">
        <v>0</v>
      </c>
      <c r="O13" s="51"/>
      <c r="P13" s="60">
        <v>0.28000000000000003</v>
      </c>
      <c r="Q13" s="47">
        <v>1.2</v>
      </c>
      <c r="R13" s="47">
        <v>0.92</v>
      </c>
      <c r="S13" s="45">
        <v>0</v>
      </c>
      <c r="T13" s="51"/>
      <c r="U13" s="61">
        <v>0.34560000000000002</v>
      </c>
      <c r="V13" s="62">
        <v>-1.2287999999999999</v>
      </c>
      <c r="W13" s="62">
        <v>0.37890000000000001</v>
      </c>
      <c r="X13" s="63">
        <v>1.6076999999999999</v>
      </c>
    </row>
    <row r="14" spans="1:24" ht="15.75" thickBot="1" x14ac:dyDescent="0.3">
      <c r="A14" s="41" t="s">
        <v>62</v>
      </c>
      <c r="B14" s="45">
        <v>1.57</v>
      </c>
      <c r="C14" s="12">
        <v>1.07</v>
      </c>
      <c r="D14" s="12">
        <v>1.07</v>
      </c>
      <c r="E14" s="12">
        <v>0</v>
      </c>
      <c r="F14" s="45">
        <v>1.07</v>
      </c>
      <c r="G14" s="47">
        <v>0</v>
      </c>
      <c r="I14" s="59">
        <v>0.7</v>
      </c>
      <c r="J14" s="47">
        <v>0.71</v>
      </c>
      <c r="K14" s="45">
        <v>0.6</v>
      </c>
      <c r="L14" s="47">
        <v>0.71</v>
      </c>
      <c r="M14" s="47">
        <v>0.11</v>
      </c>
      <c r="N14" s="47">
        <v>0</v>
      </c>
      <c r="O14" s="51"/>
      <c r="P14" s="60">
        <v>0.11</v>
      </c>
      <c r="Q14" s="47">
        <v>0</v>
      </c>
      <c r="R14" s="47">
        <v>-0.11</v>
      </c>
      <c r="S14" s="45">
        <v>0</v>
      </c>
      <c r="T14" s="51"/>
      <c r="U14" s="61">
        <v>0.39750000000000002</v>
      </c>
      <c r="V14" s="62">
        <v>0.34760000000000002</v>
      </c>
      <c r="W14" s="62">
        <v>0.33539999999999998</v>
      </c>
      <c r="X14" s="63">
        <v>-1.2200000000000001E-2</v>
      </c>
    </row>
    <row r="15" spans="1:24" ht="15.75" thickBot="1" x14ac:dyDescent="0.3">
      <c r="A15" s="41" t="s">
        <v>63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7">
        <v>0</v>
      </c>
      <c r="I15" s="59">
        <v>0</v>
      </c>
      <c r="J15" s="47">
        <v>0.82</v>
      </c>
      <c r="K15" s="45">
        <v>0.69</v>
      </c>
      <c r="L15" s="47">
        <v>0.13</v>
      </c>
      <c r="M15" s="47">
        <v>-0.56999999999999995</v>
      </c>
      <c r="N15" s="47">
        <v>0</v>
      </c>
      <c r="O15" s="51"/>
      <c r="P15" s="60">
        <v>0.12</v>
      </c>
      <c r="Q15" s="47">
        <v>0.69</v>
      </c>
      <c r="R15" s="47">
        <v>0.56999999999999995</v>
      </c>
      <c r="S15" s="45">
        <v>0</v>
      </c>
      <c r="T15" s="51"/>
      <c r="U15" s="61">
        <v>0.35</v>
      </c>
      <c r="V15" s="62">
        <v>0</v>
      </c>
      <c r="W15" s="62">
        <v>0</v>
      </c>
      <c r="X15" s="63">
        <v>0</v>
      </c>
    </row>
    <row r="16" spans="1:24" ht="15.75" thickBot="1" x14ac:dyDescent="0.3">
      <c r="A16" s="48" t="s">
        <v>19</v>
      </c>
      <c r="B16" s="49">
        <v>100.52</v>
      </c>
      <c r="C16" s="49">
        <v>94.84</v>
      </c>
      <c r="D16" s="49" t="s">
        <v>69</v>
      </c>
      <c r="E16" s="49" t="s">
        <v>70</v>
      </c>
      <c r="F16" s="49">
        <v>94.84</v>
      </c>
      <c r="G16" s="49">
        <v>0</v>
      </c>
      <c r="I16" s="49">
        <v>74.08</v>
      </c>
      <c r="J16" s="64">
        <v>70.48</v>
      </c>
      <c r="K16" s="48">
        <v>59.91</v>
      </c>
      <c r="L16" s="49">
        <v>54.48</v>
      </c>
      <c r="M16" s="49">
        <v>-5.43</v>
      </c>
      <c r="N16" s="49">
        <v>0</v>
      </c>
      <c r="O16" s="51"/>
      <c r="P16" s="48">
        <v>10.57</v>
      </c>
      <c r="Q16" s="49">
        <v>16.010000000000002</v>
      </c>
      <c r="R16" s="49">
        <v>5.43</v>
      </c>
      <c r="S16" s="49">
        <v>0</v>
      </c>
      <c r="T16" s="51"/>
      <c r="U16" s="65">
        <v>0.34989999999999999</v>
      </c>
      <c r="V16" s="66">
        <v>0.24929999999999999</v>
      </c>
      <c r="W16" s="66">
        <v>0.25679999999999997</v>
      </c>
      <c r="X16" s="66">
        <v>7.4999999999999997E-3</v>
      </c>
    </row>
  </sheetData>
  <mergeCells count="4">
    <mergeCell ref="A1:G1"/>
    <mergeCell ref="K1:M1"/>
    <mergeCell ref="P1:S1"/>
    <mergeCell ref="U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B38B-3C75-49B7-AC05-3B964C53C048}">
  <dimension ref="A1:I18"/>
  <sheetViews>
    <sheetView topLeftCell="A5" workbookViewId="0">
      <selection sqref="A1:XFD4"/>
    </sheetView>
  </sheetViews>
  <sheetFormatPr defaultRowHeight="15" x14ac:dyDescent="0.25"/>
  <cols>
    <col min="2" max="3" width="19.42578125" customWidth="1"/>
    <col min="4" max="6" width="24.5703125" customWidth="1"/>
    <col min="7" max="7" width="15" customWidth="1"/>
    <col min="8" max="8" width="18.85546875" customWidth="1"/>
  </cols>
  <sheetData>
    <row r="1" spans="1:9" ht="36.75" hidden="1" thickBot="1" x14ac:dyDescent="0.3">
      <c r="A1" s="2" t="s">
        <v>1</v>
      </c>
      <c r="B1" s="2" t="s">
        <v>23</v>
      </c>
      <c r="C1" s="2" t="s">
        <v>4</v>
      </c>
      <c r="D1" s="2" t="s">
        <v>24</v>
      </c>
      <c r="E1" s="2" t="s">
        <v>26</v>
      </c>
      <c r="F1" s="2" t="s">
        <v>22</v>
      </c>
      <c r="G1" s="2" t="s">
        <v>15</v>
      </c>
      <c r="H1" s="2" t="s">
        <v>25</v>
      </c>
    </row>
    <row r="2" spans="1:9" ht="24" hidden="1" thickBot="1" x14ac:dyDescent="0.3">
      <c r="A2" s="3" t="s">
        <v>12</v>
      </c>
      <c r="B2" s="10">
        <v>0.24110000000000001</v>
      </c>
      <c r="C2" s="10">
        <v>0.32150000000000001</v>
      </c>
      <c r="D2" s="10">
        <v>0.24560000000000001</v>
      </c>
      <c r="E2" s="10">
        <v>0.24149999999999999</v>
      </c>
      <c r="F2" s="10">
        <f>E2-D2</f>
        <v>-4.1000000000000203E-3</v>
      </c>
      <c r="G2" s="11">
        <f>E2-C2</f>
        <v>-8.0000000000000016E-2</v>
      </c>
      <c r="H2" s="10">
        <v>0.23100000000000001</v>
      </c>
    </row>
    <row r="3" spans="1:9" hidden="1" x14ac:dyDescent="0.25"/>
    <row r="4" spans="1:9" hidden="1" x14ac:dyDescent="0.25"/>
    <row r="6" spans="1:9" ht="30" x14ac:dyDescent="0.25">
      <c r="A6" s="26" t="s">
        <v>0</v>
      </c>
      <c r="B6" s="26" t="s">
        <v>48</v>
      </c>
      <c r="C6" s="26" t="s">
        <v>54</v>
      </c>
      <c r="D6" s="27" t="s">
        <v>55</v>
      </c>
      <c r="E6" s="28" t="s">
        <v>24</v>
      </c>
      <c r="F6" s="28" t="s">
        <v>26</v>
      </c>
      <c r="G6" s="28" t="s">
        <v>22</v>
      </c>
      <c r="H6" s="28" t="s">
        <v>15</v>
      </c>
      <c r="I6" s="27" t="s">
        <v>56</v>
      </c>
    </row>
    <row r="7" spans="1:9" ht="30" x14ac:dyDescent="0.25">
      <c r="A7" s="29" t="s">
        <v>45</v>
      </c>
      <c r="B7" s="29" t="s">
        <v>49</v>
      </c>
      <c r="C7" s="30">
        <v>0.31519999999999998</v>
      </c>
      <c r="D7" s="30">
        <v>0.40510000000000002</v>
      </c>
      <c r="E7" s="35">
        <v>0.32019999999999998</v>
      </c>
      <c r="F7" s="36">
        <v>0.32519999999999999</v>
      </c>
      <c r="G7" s="31">
        <f>F7-E7</f>
        <v>5.0000000000000044E-3</v>
      </c>
      <c r="H7" s="32">
        <f>F7-D7</f>
        <v>-7.9900000000000027E-2</v>
      </c>
      <c r="I7" s="30">
        <v>0.31519999999999998</v>
      </c>
    </row>
    <row r="8" spans="1:9" x14ac:dyDescent="0.25">
      <c r="A8" s="29" t="s">
        <v>50</v>
      </c>
      <c r="B8" s="29" t="s">
        <v>29</v>
      </c>
      <c r="C8" s="30">
        <v>0.19109999999999999</v>
      </c>
      <c r="D8" s="30">
        <v>0.20549999999999999</v>
      </c>
      <c r="E8" s="35">
        <v>0.1961</v>
      </c>
      <c r="F8" s="36">
        <v>0.2011</v>
      </c>
      <c r="G8" s="31">
        <f t="shared" ref="G8:G18" si="0">F8-E8</f>
        <v>5.0000000000000044E-3</v>
      </c>
      <c r="H8" s="32">
        <f t="shared" ref="H8:H18" si="1">F8-D8</f>
        <v>-4.3999999999999873E-3</v>
      </c>
      <c r="I8" s="30">
        <v>0.19109999999999999</v>
      </c>
    </row>
    <row r="9" spans="1:9" x14ac:dyDescent="0.25">
      <c r="A9" s="29" t="s">
        <v>57</v>
      </c>
      <c r="B9" s="29" t="s">
        <v>30</v>
      </c>
      <c r="C9" s="30">
        <v>0.48920000000000002</v>
      </c>
      <c r="D9" s="30">
        <v>0.55289999999999995</v>
      </c>
      <c r="E9" s="35">
        <v>0.49420000000000003</v>
      </c>
      <c r="F9" s="36">
        <v>0.49920000000000003</v>
      </c>
      <c r="G9" s="31">
        <f t="shared" si="0"/>
        <v>5.0000000000000044E-3</v>
      </c>
      <c r="H9" s="32">
        <f t="shared" si="1"/>
        <v>-5.3699999999999914E-2</v>
      </c>
      <c r="I9" s="30">
        <v>0.48920000000000002</v>
      </c>
    </row>
    <row r="10" spans="1:9" x14ac:dyDescent="0.25">
      <c r="A10" s="29" t="s">
        <v>58</v>
      </c>
      <c r="B10" s="29" t="s">
        <v>31</v>
      </c>
      <c r="C10" s="13"/>
      <c r="D10" s="30">
        <v>0.38840000000000002</v>
      </c>
      <c r="E10" s="35">
        <v>5.0000000000000001E-3</v>
      </c>
      <c r="F10" s="36">
        <v>0.01</v>
      </c>
      <c r="G10" s="31">
        <f t="shared" si="0"/>
        <v>5.0000000000000001E-3</v>
      </c>
      <c r="H10" s="32">
        <f t="shared" si="1"/>
        <v>-0.37840000000000001</v>
      </c>
      <c r="I10" s="13"/>
    </row>
    <row r="11" spans="1:9" x14ac:dyDescent="0.25">
      <c r="A11" s="29" t="s">
        <v>42</v>
      </c>
      <c r="B11" s="29" t="s">
        <v>32</v>
      </c>
      <c r="C11" s="30">
        <v>0.31850000000000001</v>
      </c>
      <c r="D11" s="30">
        <v>0.38629999999999998</v>
      </c>
      <c r="E11" s="35">
        <v>0.32350000000000001</v>
      </c>
      <c r="F11" s="36">
        <v>0.32850000000000001</v>
      </c>
      <c r="G11" s="31">
        <f t="shared" si="0"/>
        <v>5.0000000000000044E-3</v>
      </c>
      <c r="H11" s="32">
        <f t="shared" si="1"/>
        <v>-5.7799999999999963E-2</v>
      </c>
      <c r="I11" s="30">
        <v>0.31850000000000001</v>
      </c>
    </row>
    <row r="12" spans="1:9" x14ac:dyDescent="0.25">
      <c r="A12" s="29" t="s">
        <v>43</v>
      </c>
      <c r="B12" s="29" t="s">
        <v>51</v>
      </c>
      <c r="C12" s="30">
        <v>0.27029999999999998</v>
      </c>
      <c r="D12" s="30">
        <v>0.29289999999999999</v>
      </c>
      <c r="E12" s="35">
        <v>0.27529999999999999</v>
      </c>
      <c r="F12" s="36">
        <v>0.28029999999999999</v>
      </c>
      <c r="G12" s="31">
        <f t="shared" si="0"/>
        <v>5.0000000000000044E-3</v>
      </c>
      <c r="H12" s="32">
        <f t="shared" si="1"/>
        <v>-1.26E-2</v>
      </c>
      <c r="I12" s="30">
        <v>0.27029999999999998</v>
      </c>
    </row>
    <row r="13" spans="1:9" x14ac:dyDescent="0.25">
      <c r="A13" s="29" t="s">
        <v>40</v>
      </c>
      <c r="B13" s="29" t="s">
        <v>52</v>
      </c>
      <c r="C13" s="30">
        <v>0.3417</v>
      </c>
      <c r="D13" s="30">
        <v>0.36470000000000002</v>
      </c>
      <c r="E13" s="35">
        <v>0.34670000000000001</v>
      </c>
      <c r="F13" s="36">
        <v>0.35170000000000001</v>
      </c>
      <c r="G13" s="31">
        <f t="shared" si="0"/>
        <v>5.0000000000000044E-3</v>
      </c>
      <c r="H13" s="32">
        <f t="shared" si="1"/>
        <v>-1.3000000000000012E-2</v>
      </c>
      <c r="I13" s="30">
        <v>0.3417</v>
      </c>
    </row>
    <row r="14" spans="1:9" x14ac:dyDescent="0.25">
      <c r="A14" s="29" t="s">
        <v>39</v>
      </c>
      <c r="B14" s="29" t="s">
        <v>53</v>
      </c>
      <c r="C14" s="30">
        <v>0.30649999999999999</v>
      </c>
      <c r="D14" s="30">
        <v>0.45050000000000001</v>
      </c>
      <c r="E14" s="35">
        <v>0.3115</v>
      </c>
      <c r="F14" s="36">
        <v>0.3165</v>
      </c>
      <c r="G14" s="31">
        <f t="shared" si="0"/>
        <v>5.0000000000000044E-3</v>
      </c>
      <c r="H14" s="32">
        <f t="shared" si="1"/>
        <v>-0.13400000000000001</v>
      </c>
      <c r="I14" s="30">
        <v>0.30649999999999999</v>
      </c>
    </row>
    <row r="15" spans="1:9" ht="30" x14ac:dyDescent="0.25">
      <c r="A15" s="29" t="s">
        <v>11</v>
      </c>
      <c r="B15" s="29" t="s">
        <v>12</v>
      </c>
      <c r="C15" s="30">
        <v>0.23100000000000001</v>
      </c>
      <c r="D15" s="30">
        <v>0.32150000000000001</v>
      </c>
      <c r="E15" s="35">
        <v>0.23600000000000002</v>
      </c>
      <c r="F15" s="36">
        <v>0.24100000000000002</v>
      </c>
      <c r="G15" s="31">
        <f t="shared" si="0"/>
        <v>5.0000000000000044E-3</v>
      </c>
      <c r="H15" s="32">
        <f t="shared" si="1"/>
        <v>-8.0499999999999988E-2</v>
      </c>
      <c r="I15" s="30">
        <v>0.23100000000000001</v>
      </c>
    </row>
    <row r="16" spans="1:9" x14ac:dyDescent="0.25">
      <c r="A16" s="29" t="s">
        <v>38</v>
      </c>
      <c r="B16" s="29" t="s">
        <v>34</v>
      </c>
      <c r="C16" s="30">
        <v>0.1867</v>
      </c>
      <c r="D16" s="30">
        <v>0.33879999999999999</v>
      </c>
      <c r="E16" s="35">
        <v>0.19170000000000001</v>
      </c>
      <c r="F16" s="36">
        <v>0.19670000000000001</v>
      </c>
      <c r="G16" s="31">
        <f t="shared" si="0"/>
        <v>5.0000000000000044E-3</v>
      </c>
      <c r="H16" s="32">
        <f t="shared" si="1"/>
        <v>-0.14209999999999998</v>
      </c>
      <c r="I16" s="30">
        <v>0.1867</v>
      </c>
    </row>
    <row r="17" spans="1:9" x14ac:dyDescent="0.25">
      <c r="A17" s="29" t="s">
        <v>37</v>
      </c>
      <c r="B17" s="29" t="s">
        <v>35</v>
      </c>
      <c r="C17" s="30">
        <v>0.18310000000000001</v>
      </c>
      <c r="D17" s="30">
        <v>0.3216</v>
      </c>
      <c r="E17" s="35">
        <v>0.18810000000000002</v>
      </c>
      <c r="F17" s="36">
        <v>0.19310000000000002</v>
      </c>
      <c r="G17" s="31">
        <f t="shared" si="0"/>
        <v>5.0000000000000044E-3</v>
      </c>
      <c r="H17" s="32">
        <f t="shared" si="1"/>
        <v>-0.12849999999999998</v>
      </c>
      <c r="I17" s="30">
        <v>0.18310000000000001</v>
      </c>
    </row>
    <row r="18" spans="1:9" x14ac:dyDescent="0.25">
      <c r="A18" s="31"/>
      <c r="B18" s="31"/>
      <c r="C18" s="33">
        <v>0.26540000000000002</v>
      </c>
      <c r="D18" s="34">
        <v>0.34899999999999998</v>
      </c>
      <c r="E18" s="35">
        <v>0.27040000000000003</v>
      </c>
      <c r="F18" s="36">
        <v>0.27540000000000003</v>
      </c>
      <c r="G18" s="31">
        <f t="shared" si="0"/>
        <v>5.0000000000000044E-3</v>
      </c>
      <c r="H18" s="32">
        <f t="shared" si="1"/>
        <v>-7.3599999999999943E-2</v>
      </c>
      <c r="I18" s="34">
        <v>0.26540000000000002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</vt:lpstr>
      <vt:lpstr>NTE</vt:lpstr>
      <vt:lpstr>Sheet4</vt:lpstr>
      <vt:lpstr>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 Yegi</dc:creator>
  <cp:lastModifiedBy>Sriya Yegi</cp:lastModifiedBy>
  <dcterms:created xsi:type="dcterms:W3CDTF">2026-07-08T07:09:44Z</dcterms:created>
  <dcterms:modified xsi:type="dcterms:W3CDTF">2026-07-08T10:14:38Z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2026-07-08T07:18:13Z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b6be1fe0-5659-4127-b029-3b5e4459525e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